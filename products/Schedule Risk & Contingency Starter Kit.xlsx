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3">
    <font>
      <name val="Calibri"/>
      <family val="2"/>
      <color theme="1"/>
      <sz val="11"/>
      <scheme val="minor"/>
    </font>
    <font>
      <name val="Arial"/>
      <b val="1"/>
      <color rgb="0014213D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i val="1"/>
      <color rgb="00B45309"/>
      <sz val="9"/>
    </font>
    <font>
      <name val="Arial"/>
      <color rgb="000000FF"/>
      <sz val="10"/>
    </font>
    <font>
      <name val="Arial"/>
      <sz val="10"/>
    </font>
    <font>
      <name val="Arial"/>
      <i val="1"/>
      <color rgb="0033415C"/>
      <sz val="9"/>
    </font>
    <font>
      <name val="Arial"/>
      <i val="1"/>
      <sz val="9"/>
    </font>
    <font>
      <name val="Arial"/>
      <b val="1"/>
      <color rgb="0014213D"/>
      <sz val="12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0F766E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DDE3EA"/>
      </top>
      <bottom style="thin">
        <color rgb="00DDE3E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2" fontId="8" fillId="0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164" fontId="8" fillId="4" borderId="1" applyAlignment="1" pivotButton="0" quotePrefix="0" xfId="0">
      <alignment horizontal="center"/>
    </xf>
    <xf numFmtId="2" fontId="8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0" pivotButton="0" quotePrefix="0" xfId="0"/>
    <xf numFmtId="2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4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Schedule Risk &amp; Contingency Starter Kit</t>
        </is>
      </c>
    </row>
    <row r="2">
      <c r="A2" s="2" t="inlineStr"/>
    </row>
    <row r="3">
      <c r="A3" s="3" t="inlineStr">
        <is>
          <t>What this is:</t>
        </is>
      </c>
    </row>
    <row r="4">
      <c r="A4" s="2" t="inlineStr">
        <is>
          <t>A 3-point (PERT) estimating workbook. For each activity or risk item, enter an Optimistic, Most Likely, and Pessimistic duration. The sheet calculates a PERT-weighted expected duration and a standard deviation per item, then combines them into a project-level expected duration and a P50 / P80 / P90 range.</t>
        </is>
      </c>
    </row>
    <row r="5">
      <c r="A5" s="2" t="inlineStr"/>
    </row>
    <row r="6">
      <c r="A6" s="3" t="inlineStr">
        <is>
          <t>What this is not:</t>
        </is>
      </c>
    </row>
    <row r="7">
      <c r="A7" s="2" t="inlineStr">
        <is>
          <t>This is not a full Monte Carlo simulation. It doesn't model correlations between activities or run thousands of iterations. It's the standard lightweight alternative: fast to build, transparent, and good enough to put a number on contingency for most schedules. For a full simulation on a complex or high-value schedule, that's still worth doing separately.</t>
        </is>
      </c>
    </row>
    <row r="8">
      <c r="A8" s="2" t="inlineStr"/>
    </row>
    <row r="9">
      <c r="A9" s="3" t="inlineStr">
        <is>
          <t>How to use it:</t>
        </is>
      </c>
    </row>
    <row r="10">
      <c r="A10" s="2" t="inlineStr">
        <is>
          <t>1. Go to the 'Risk Register' tab.</t>
        </is>
      </c>
    </row>
    <row r="11">
      <c r="A11" s="2" t="inlineStr">
        <is>
          <t>2. Blue text marks cells meant to be edited. Row 5 is an example, replace it with your own items.</t>
        </is>
      </c>
    </row>
    <row r="12">
      <c r="A12" s="2" t="inlineStr">
        <is>
          <t>3. List either individual activities or risk-bearing groups of activities, whichever gives you a more manageable list. 15-30 items is a normal range.</t>
        </is>
      </c>
    </row>
    <row r="13">
      <c r="A13" s="2" t="inlineStr">
        <is>
          <t>4. The bottom summary combines every row into a project-level Expected, P80, and P90 duration.</t>
        </is>
      </c>
    </row>
    <row r="14">
      <c r="A14" s="2" t="inlineStr">
        <is>
          <t>5. '% of Total Variance' ranks which items are driving the uncertainty; the top few are worth managing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 ht="30" customHeight="1">
      <c r="A1" s="4" t="inlineStr">
        <is>
          <t>SCHEDULE RISK &amp; CONTINGENCY (3-POINT / PERT)</t>
        </is>
      </c>
    </row>
    <row r="3" ht="28" customHeight="1">
      <c r="A3" s="5" t="inlineStr">
        <is>
          <t>Item / Activity</t>
        </is>
      </c>
      <c r="B3" s="5" t="inlineStr">
        <is>
          <t>Optimistic (O)</t>
        </is>
      </c>
      <c r="C3" s="5" t="inlineStr">
        <is>
          <t>Most Likely (M)</t>
        </is>
      </c>
      <c r="D3" s="5" t="inlineStr">
        <is>
          <t>Pessimistic (P)</t>
        </is>
      </c>
      <c r="E3" s="5" t="inlineStr">
        <is>
          <t>PERT Expected (Te)</t>
        </is>
      </c>
      <c r="F3" s="5" t="inlineStr">
        <is>
          <t>Std Dev (SD)</t>
        </is>
      </c>
      <c r="G3" s="5" t="inlineStr">
        <is>
          <t>Variance</t>
        </is>
      </c>
      <c r="H3" s="5" t="inlineStr">
        <is>
          <t>% of Total Variance</t>
        </is>
      </c>
    </row>
    <row r="4">
      <c r="A4" s="6" t="inlineStr">
        <is>
          <t>EXAMPLE ROW: replace with your own items. Durations in working days.</t>
        </is>
      </c>
    </row>
    <row r="5">
      <c r="A5" s="7" t="inlineStr">
        <is>
          <t>Excavation - unexpected groundwater</t>
        </is>
      </c>
      <c r="B5" s="8" t="n">
        <v>5</v>
      </c>
      <c r="C5" s="8" t="n">
        <v>8</v>
      </c>
      <c r="D5" s="8" t="n">
        <v>20</v>
      </c>
      <c r="E5" s="9">
        <f>IF(AND(B5&lt;&gt;"",C5&lt;&gt;"",D5&lt;&gt;""),(B5+4*C5+D5)/6,"")</f>
        <v/>
      </c>
      <c r="F5" s="9">
        <f>IF(AND(B5&lt;&gt;"",D5&lt;&gt;""),(D5-B5)/6,"")</f>
        <v/>
      </c>
      <c r="G5" s="10">
        <f>IF(F5&lt;&gt;"",F5^2,"")</f>
        <v/>
      </c>
      <c r="H5" s="11">
        <f>IF(AND(G5&lt;&gt;"",$G$26&gt;0),G5/$G$26,"")</f>
        <v/>
      </c>
    </row>
    <row r="6">
      <c r="A6" s="12" t="n"/>
      <c r="B6" s="13" t="n"/>
      <c r="C6" s="13" t="n"/>
      <c r="D6" s="13" t="n"/>
      <c r="E6" s="14">
        <f>IF(AND(B6&lt;&gt;"",C6&lt;&gt;"",D6&lt;&gt;""),(B6+4*C6+D6)/6,"")</f>
        <v/>
      </c>
      <c r="F6" s="14">
        <f>IF(AND(B6&lt;&gt;"",D6&lt;&gt;""),(D6-B6)/6,"")</f>
        <v/>
      </c>
      <c r="G6" s="15">
        <f>IF(F6&lt;&gt;"",F6^2,"")</f>
        <v/>
      </c>
      <c r="H6" s="16">
        <f>IF(AND(G6&lt;&gt;"",$G$26&gt;0),G6/$G$26,"")</f>
        <v/>
      </c>
    </row>
    <row r="7">
      <c r="A7" s="17" t="n"/>
      <c r="B7" s="18" t="n"/>
      <c r="C7" s="18" t="n"/>
      <c r="D7" s="18" t="n"/>
      <c r="E7" s="9">
        <f>IF(AND(B7&lt;&gt;"",C7&lt;&gt;"",D7&lt;&gt;""),(B7+4*C7+D7)/6,"")</f>
        <v/>
      </c>
      <c r="F7" s="9">
        <f>IF(AND(B7&lt;&gt;"",D7&lt;&gt;""),(D7-B7)/6,"")</f>
        <v/>
      </c>
      <c r="G7" s="10">
        <f>IF(F7&lt;&gt;"",F7^2,"")</f>
        <v/>
      </c>
      <c r="H7" s="11">
        <f>IF(AND(G7&lt;&gt;"",$G$26&gt;0),G7/$G$26,"")</f>
        <v/>
      </c>
    </row>
    <row r="8">
      <c r="A8" s="12" t="n"/>
      <c r="B8" s="13" t="n"/>
      <c r="C8" s="13" t="n"/>
      <c r="D8" s="13" t="n"/>
      <c r="E8" s="14">
        <f>IF(AND(B8&lt;&gt;"",C8&lt;&gt;"",D8&lt;&gt;""),(B8+4*C8+D8)/6,"")</f>
        <v/>
      </c>
      <c r="F8" s="14">
        <f>IF(AND(B8&lt;&gt;"",D8&lt;&gt;""),(D8-B8)/6,"")</f>
        <v/>
      </c>
      <c r="G8" s="15">
        <f>IF(F8&lt;&gt;"",F8^2,"")</f>
        <v/>
      </c>
      <c r="H8" s="16">
        <f>IF(AND(G8&lt;&gt;"",$G$26&gt;0),G8/$G$26,"")</f>
        <v/>
      </c>
    </row>
    <row r="9">
      <c r="A9" s="17" t="n"/>
      <c r="B9" s="18" t="n"/>
      <c r="C9" s="18" t="n"/>
      <c r="D9" s="18" t="n"/>
      <c r="E9" s="9">
        <f>IF(AND(B9&lt;&gt;"",C9&lt;&gt;"",D9&lt;&gt;""),(B9+4*C9+D9)/6,"")</f>
        <v/>
      </c>
      <c r="F9" s="9">
        <f>IF(AND(B9&lt;&gt;"",D9&lt;&gt;""),(D9-B9)/6,"")</f>
        <v/>
      </c>
      <c r="G9" s="10">
        <f>IF(F9&lt;&gt;"",F9^2,"")</f>
        <v/>
      </c>
      <c r="H9" s="11">
        <f>IF(AND(G9&lt;&gt;"",$G$26&gt;0),G9/$G$26,"")</f>
        <v/>
      </c>
    </row>
    <row r="10">
      <c r="A10" s="12" t="n"/>
      <c r="B10" s="13" t="n"/>
      <c r="C10" s="13" t="n"/>
      <c r="D10" s="13" t="n"/>
      <c r="E10" s="14">
        <f>IF(AND(B10&lt;&gt;"",C10&lt;&gt;"",D10&lt;&gt;""),(B10+4*C10+D10)/6,"")</f>
        <v/>
      </c>
      <c r="F10" s="14">
        <f>IF(AND(B10&lt;&gt;"",D10&lt;&gt;""),(D10-B10)/6,"")</f>
        <v/>
      </c>
      <c r="G10" s="15">
        <f>IF(F10&lt;&gt;"",F10^2,"")</f>
        <v/>
      </c>
      <c r="H10" s="16">
        <f>IF(AND(G10&lt;&gt;"",$G$26&gt;0),G10/$G$26,"")</f>
        <v/>
      </c>
    </row>
    <row r="11">
      <c r="A11" s="17" t="n"/>
      <c r="B11" s="18" t="n"/>
      <c r="C11" s="18" t="n"/>
      <c r="D11" s="18" t="n"/>
      <c r="E11" s="9">
        <f>IF(AND(B11&lt;&gt;"",C11&lt;&gt;"",D11&lt;&gt;""),(B11+4*C11+D11)/6,"")</f>
        <v/>
      </c>
      <c r="F11" s="9">
        <f>IF(AND(B11&lt;&gt;"",D11&lt;&gt;""),(D11-B11)/6,"")</f>
        <v/>
      </c>
      <c r="G11" s="10">
        <f>IF(F11&lt;&gt;"",F11^2,"")</f>
        <v/>
      </c>
      <c r="H11" s="11">
        <f>IF(AND(G11&lt;&gt;"",$G$26&gt;0),G11/$G$26,"")</f>
        <v/>
      </c>
    </row>
    <row r="12">
      <c r="A12" s="12" t="n"/>
      <c r="B12" s="13" t="n"/>
      <c r="C12" s="13" t="n"/>
      <c r="D12" s="13" t="n"/>
      <c r="E12" s="14">
        <f>IF(AND(B12&lt;&gt;"",C12&lt;&gt;"",D12&lt;&gt;""),(B12+4*C12+D12)/6,"")</f>
        <v/>
      </c>
      <c r="F12" s="14">
        <f>IF(AND(B12&lt;&gt;"",D12&lt;&gt;""),(D12-B12)/6,"")</f>
        <v/>
      </c>
      <c r="G12" s="15">
        <f>IF(F12&lt;&gt;"",F12^2,"")</f>
        <v/>
      </c>
      <c r="H12" s="16">
        <f>IF(AND(G12&lt;&gt;"",$G$26&gt;0),G12/$G$26,"")</f>
        <v/>
      </c>
    </row>
    <row r="13">
      <c r="A13" s="17" t="n"/>
      <c r="B13" s="18" t="n"/>
      <c r="C13" s="18" t="n"/>
      <c r="D13" s="18" t="n"/>
      <c r="E13" s="9">
        <f>IF(AND(B13&lt;&gt;"",C13&lt;&gt;"",D13&lt;&gt;""),(B13+4*C13+D13)/6,"")</f>
        <v/>
      </c>
      <c r="F13" s="9">
        <f>IF(AND(B13&lt;&gt;"",D13&lt;&gt;""),(D13-B13)/6,"")</f>
        <v/>
      </c>
      <c r="G13" s="10">
        <f>IF(F13&lt;&gt;"",F13^2,"")</f>
        <v/>
      </c>
      <c r="H13" s="11">
        <f>IF(AND(G13&lt;&gt;"",$G$26&gt;0),G13/$G$26,"")</f>
        <v/>
      </c>
    </row>
    <row r="14">
      <c r="A14" s="12" t="n"/>
      <c r="B14" s="13" t="n"/>
      <c r="C14" s="13" t="n"/>
      <c r="D14" s="13" t="n"/>
      <c r="E14" s="14">
        <f>IF(AND(B14&lt;&gt;"",C14&lt;&gt;"",D14&lt;&gt;""),(B14+4*C14+D14)/6,"")</f>
        <v/>
      </c>
      <c r="F14" s="14">
        <f>IF(AND(B14&lt;&gt;"",D14&lt;&gt;""),(D14-B14)/6,"")</f>
        <v/>
      </c>
      <c r="G14" s="15">
        <f>IF(F14&lt;&gt;"",F14^2,"")</f>
        <v/>
      </c>
      <c r="H14" s="16">
        <f>IF(AND(G14&lt;&gt;"",$G$26&gt;0),G14/$G$26,"")</f>
        <v/>
      </c>
    </row>
    <row r="15">
      <c r="A15" s="17" t="n"/>
      <c r="B15" s="18" t="n"/>
      <c r="C15" s="18" t="n"/>
      <c r="D15" s="18" t="n"/>
      <c r="E15" s="9">
        <f>IF(AND(B15&lt;&gt;"",C15&lt;&gt;"",D15&lt;&gt;""),(B15+4*C15+D15)/6,"")</f>
        <v/>
      </c>
      <c r="F15" s="9">
        <f>IF(AND(B15&lt;&gt;"",D15&lt;&gt;""),(D15-B15)/6,"")</f>
        <v/>
      </c>
      <c r="G15" s="10">
        <f>IF(F15&lt;&gt;"",F15^2,"")</f>
        <v/>
      </c>
      <c r="H15" s="11">
        <f>IF(AND(G15&lt;&gt;"",$G$26&gt;0),G15/$G$26,"")</f>
        <v/>
      </c>
    </row>
    <row r="16">
      <c r="A16" s="12" t="n"/>
      <c r="B16" s="13" t="n"/>
      <c r="C16" s="13" t="n"/>
      <c r="D16" s="13" t="n"/>
      <c r="E16" s="14">
        <f>IF(AND(B16&lt;&gt;"",C16&lt;&gt;"",D16&lt;&gt;""),(B16+4*C16+D16)/6,"")</f>
        <v/>
      </c>
      <c r="F16" s="14">
        <f>IF(AND(B16&lt;&gt;"",D16&lt;&gt;""),(D16-B16)/6,"")</f>
        <v/>
      </c>
      <c r="G16" s="15">
        <f>IF(F16&lt;&gt;"",F16^2,"")</f>
        <v/>
      </c>
      <c r="H16" s="16">
        <f>IF(AND(G16&lt;&gt;"",$G$26&gt;0),G16/$G$26,"")</f>
        <v/>
      </c>
    </row>
    <row r="17">
      <c r="A17" s="17" t="n"/>
      <c r="B17" s="18" t="n"/>
      <c r="C17" s="18" t="n"/>
      <c r="D17" s="18" t="n"/>
      <c r="E17" s="9">
        <f>IF(AND(B17&lt;&gt;"",C17&lt;&gt;"",D17&lt;&gt;""),(B17+4*C17+D17)/6,"")</f>
        <v/>
      </c>
      <c r="F17" s="9">
        <f>IF(AND(B17&lt;&gt;"",D17&lt;&gt;""),(D17-B17)/6,"")</f>
        <v/>
      </c>
      <c r="G17" s="10">
        <f>IF(F17&lt;&gt;"",F17^2,"")</f>
        <v/>
      </c>
      <c r="H17" s="11">
        <f>IF(AND(G17&lt;&gt;"",$G$26&gt;0),G17/$G$26,"")</f>
        <v/>
      </c>
    </row>
    <row r="18">
      <c r="A18" s="12" t="n"/>
      <c r="B18" s="13" t="n"/>
      <c r="C18" s="13" t="n"/>
      <c r="D18" s="13" t="n"/>
      <c r="E18" s="14">
        <f>IF(AND(B18&lt;&gt;"",C18&lt;&gt;"",D18&lt;&gt;""),(B18+4*C18+D18)/6,"")</f>
        <v/>
      </c>
      <c r="F18" s="14">
        <f>IF(AND(B18&lt;&gt;"",D18&lt;&gt;""),(D18-B18)/6,"")</f>
        <v/>
      </c>
      <c r="G18" s="15">
        <f>IF(F18&lt;&gt;"",F18^2,"")</f>
        <v/>
      </c>
      <c r="H18" s="16">
        <f>IF(AND(G18&lt;&gt;"",$G$26&gt;0),G18/$G$26,"")</f>
        <v/>
      </c>
    </row>
    <row r="19">
      <c r="A19" s="17" t="n"/>
      <c r="B19" s="18" t="n"/>
      <c r="C19" s="18" t="n"/>
      <c r="D19" s="18" t="n"/>
      <c r="E19" s="9">
        <f>IF(AND(B19&lt;&gt;"",C19&lt;&gt;"",D19&lt;&gt;""),(B19+4*C19+D19)/6,"")</f>
        <v/>
      </c>
      <c r="F19" s="9">
        <f>IF(AND(B19&lt;&gt;"",D19&lt;&gt;""),(D19-B19)/6,"")</f>
        <v/>
      </c>
      <c r="G19" s="10">
        <f>IF(F19&lt;&gt;"",F19^2,"")</f>
        <v/>
      </c>
      <c r="H19" s="11">
        <f>IF(AND(G19&lt;&gt;"",$G$26&gt;0),G19/$G$26,"")</f>
        <v/>
      </c>
    </row>
    <row r="20">
      <c r="A20" s="12" t="n"/>
      <c r="B20" s="13" t="n"/>
      <c r="C20" s="13" t="n"/>
      <c r="D20" s="13" t="n"/>
      <c r="E20" s="14">
        <f>IF(AND(B20&lt;&gt;"",C20&lt;&gt;"",D20&lt;&gt;""),(B20+4*C20+D20)/6,"")</f>
        <v/>
      </c>
      <c r="F20" s="14">
        <f>IF(AND(B20&lt;&gt;"",D20&lt;&gt;""),(D20-B20)/6,"")</f>
        <v/>
      </c>
      <c r="G20" s="15">
        <f>IF(F20&lt;&gt;"",F20^2,"")</f>
        <v/>
      </c>
      <c r="H20" s="16">
        <f>IF(AND(G20&lt;&gt;"",$G$26&gt;0),G20/$G$26,"")</f>
        <v/>
      </c>
    </row>
    <row r="21">
      <c r="A21" s="17" t="n"/>
      <c r="B21" s="18" t="n"/>
      <c r="C21" s="18" t="n"/>
      <c r="D21" s="18" t="n"/>
      <c r="E21" s="9">
        <f>IF(AND(B21&lt;&gt;"",C21&lt;&gt;"",D21&lt;&gt;""),(B21+4*C21+D21)/6,"")</f>
        <v/>
      </c>
      <c r="F21" s="9">
        <f>IF(AND(B21&lt;&gt;"",D21&lt;&gt;""),(D21-B21)/6,"")</f>
        <v/>
      </c>
      <c r="G21" s="10">
        <f>IF(F21&lt;&gt;"",F21^2,"")</f>
        <v/>
      </c>
      <c r="H21" s="11">
        <f>IF(AND(G21&lt;&gt;"",$G$26&gt;0),G21/$G$26,"")</f>
        <v/>
      </c>
    </row>
    <row r="22">
      <c r="A22" s="12" t="n"/>
      <c r="B22" s="13" t="n"/>
      <c r="C22" s="13" t="n"/>
      <c r="D22" s="13" t="n"/>
      <c r="E22" s="14">
        <f>IF(AND(B22&lt;&gt;"",C22&lt;&gt;"",D22&lt;&gt;""),(B22+4*C22+D22)/6,"")</f>
        <v/>
      </c>
      <c r="F22" s="14">
        <f>IF(AND(B22&lt;&gt;"",D22&lt;&gt;""),(D22-B22)/6,"")</f>
        <v/>
      </c>
      <c r="G22" s="15">
        <f>IF(F22&lt;&gt;"",F22^2,"")</f>
        <v/>
      </c>
      <c r="H22" s="16">
        <f>IF(AND(G22&lt;&gt;"",$G$26&gt;0),G22/$G$26,"")</f>
        <v/>
      </c>
    </row>
    <row r="23">
      <c r="A23" s="17" t="n"/>
      <c r="B23" s="18" t="n"/>
      <c r="C23" s="18" t="n"/>
      <c r="D23" s="18" t="n"/>
      <c r="E23" s="9">
        <f>IF(AND(B23&lt;&gt;"",C23&lt;&gt;"",D23&lt;&gt;""),(B23+4*C23+D23)/6,"")</f>
        <v/>
      </c>
      <c r="F23" s="9">
        <f>IF(AND(B23&lt;&gt;"",D23&lt;&gt;""),(D23-B23)/6,"")</f>
        <v/>
      </c>
      <c r="G23" s="10">
        <f>IF(F23&lt;&gt;"",F23^2,"")</f>
        <v/>
      </c>
      <c r="H23" s="11">
        <f>IF(AND(G23&lt;&gt;"",$G$26&gt;0),G23/$G$26,"")</f>
        <v/>
      </c>
    </row>
    <row r="24">
      <c r="A24" s="12" t="n"/>
      <c r="B24" s="13" t="n"/>
      <c r="C24" s="13" t="n"/>
      <c r="D24" s="13" t="n"/>
      <c r="E24" s="14">
        <f>IF(AND(B24&lt;&gt;"",C24&lt;&gt;"",D24&lt;&gt;""),(B24+4*C24+D24)/6,"")</f>
        <v/>
      </c>
      <c r="F24" s="14">
        <f>IF(AND(B24&lt;&gt;"",D24&lt;&gt;""),(D24-B24)/6,"")</f>
        <v/>
      </c>
      <c r="G24" s="15">
        <f>IF(F24&lt;&gt;"",F24^2,"")</f>
        <v/>
      </c>
      <c r="H24" s="16">
        <f>IF(AND(G24&lt;&gt;"",$G$26&gt;0),G24/$G$26,"")</f>
        <v/>
      </c>
    </row>
    <row r="26">
      <c r="A26" s="19" t="inlineStr">
        <is>
          <t>Sum of variance (used above):</t>
        </is>
      </c>
      <c r="G26" s="20">
        <f>SUM(G5:G24)</f>
        <v/>
      </c>
    </row>
    <row r="28">
      <c r="A28" s="21" t="inlineStr">
        <is>
          <t>PROJECT SUMMARY</t>
        </is>
      </c>
    </row>
    <row r="29">
      <c r="A29" s="22" t="inlineStr">
        <is>
          <t>Expected duration (P50), sum of Te:</t>
        </is>
      </c>
      <c r="C29" s="23">
        <f>SUM(E5:E24)</f>
        <v/>
      </c>
    </row>
    <row r="30">
      <c r="A30" s="22" t="inlineStr">
        <is>
          <t>Combined std dev (independent items):</t>
        </is>
      </c>
      <c r="C30" s="23">
        <f>SQRT(SUM(G5:G24))</f>
        <v/>
      </c>
    </row>
    <row r="31">
      <c r="A31" s="22" t="inlineStr">
        <is>
          <t>P80 duration (P50 + 0.84 SD):</t>
        </is>
      </c>
      <c r="C31" s="23">
        <f>C29+0.84*C30</f>
        <v/>
      </c>
    </row>
    <row r="32">
      <c r="A32" s="22" t="inlineStr">
        <is>
          <t>P90 duration (P50 + 1.28 SD):</t>
        </is>
      </c>
      <c r="C32" s="23">
        <f>C29+1.28*C30</f>
        <v/>
      </c>
    </row>
    <row r="33">
      <c r="A33" s="22" t="inlineStr">
        <is>
          <t>Suggested contingency (P80 minus P50):</t>
        </is>
      </c>
      <c r="C33" s="23">
        <f>C31-C29</f>
        <v/>
      </c>
    </row>
  </sheetData>
  <mergeCells count="2">
    <mergeCell ref="A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2026-07-24T09:56:52Z</dcterms:created>
  <dcterms:modified xsi:type="dcterms:W3CDTF">2026-07-24T09:56:52Z</dcterms:modified>
</cp:coreProperties>
</file>